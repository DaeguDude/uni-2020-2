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KMU\Lecture\2020.2학기_빅데이터(생명)_의학통계(HuStar_학부2_학부3)\의료통계_HuStar\"/>
    </mc:Choice>
  </mc:AlternateContent>
  <bookViews>
    <workbookView xWindow="0" yWindow="0" windowWidth="19830" windowHeight="11505" activeTab="4"/>
  </bookViews>
  <sheets>
    <sheet name="자료구축" sheetId="1" r:id="rId1"/>
    <sheet name="자동채우기" sheetId="2" r:id="rId2"/>
    <sheet name="변환" sheetId="6" r:id="rId3"/>
    <sheet name="날짜_Event" sheetId="7" r:id="rId4"/>
    <sheet name="코딩북" sheetId="4" r:id="rId5"/>
    <sheet name="피벗" sheetId="5" r:id="rId6"/>
    <sheet name="그래프" sheetId="3" r:id="rId7"/>
  </sheets>
  <definedNames>
    <definedName name="_xlnm._FilterDatabase" localSheetId="6" hidden="1">그래프!$A$1:$P$8</definedName>
    <definedName name="_xlnm._FilterDatabase" localSheetId="3" hidden="1">날짜_Event!$A$1:$P$8</definedName>
    <definedName name="_xlnm._FilterDatabase" localSheetId="2" hidden="1">변환!$A$1:$J$8</definedName>
  </definedNames>
  <calcPr calcId="162913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7" l="1"/>
  <c r="N2" i="7"/>
  <c r="O2" i="7" s="1"/>
  <c r="N2" i="3" l="1"/>
  <c r="O2" i="3" s="1"/>
  <c r="P2" i="3"/>
  <c r="N3" i="3"/>
  <c r="O3" i="3" s="1"/>
  <c r="P3" i="3"/>
  <c r="N4" i="3"/>
  <c r="O4" i="3" s="1"/>
  <c r="P4" i="3"/>
  <c r="N5" i="3"/>
  <c r="O5" i="3" s="1"/>
  <c r="P5" i="3"/>
  <c r="N6" i="3"/>
  <c r="O6" i="3" s="1"/>
  <c r="P6" i="3"/>
  <c r="N7" i="3"/>
  <c r="O7" i="3" s="1"/>
  <c r="P7" i="3"/>
  <c r="N8" i="3"/>
  <c r="O8" i="3" s="1"/>
  <c r="P8" i="3"/>
</calcChain>
</file>

<file path=xl/sharedStrings.xml><?xml version="1.0" encoding="utf-8"?>
<sst xmlns="http://schemas.openxmlformats.org/spreadsheetml/2006/main" count="122" uniqueCount="73">
  <si>
    <t>ID</t>
    <phoneticPr fontId="1" type="noConversion"/>
  </si>
  <si>
    <t>Sex</t>
  </si>
  <si>
    <t>Sex</t>
    <phoneticPr fontId="1" type="noConversion"/>
  </si>
  <si>
    <t>Age</t>
    <phoneticPr fontId="1" type="noConversion"/>
  </si>
  <si>
    <t>Group</t>
    <phoneticPr fontId="1" type="noConversion"/>
  </si>
  <si>
    <t>Event</t>
    <phoneticPr fontId="1" type="noConversion"/>
  </si>
  <si>
    <t>ID</t>
    <phoneticPr fontId="1" type="noConversion"/>
  </si>
  <si>
    <t>DM</t>
  </si>
  <si>
    <t xml:space="preserve"> </t>
  </si>
  <si>
    <t>ID</t>
    <phoneticPr fontId="1" type="noConversion"/>
  </si>
  <si>
    <t>SCr2</t>
    <phoneticPr fontId="1" type="noConversion"/>
  </si>
  <si>
    <t>SCr3</t>
    <phoneticPr fontId="1" type="noConversion"/>
  </si>
  <si>
    <t>SCr1</t>
    <phoneticPr fontId="1" type="noConversion"/>
  </si>
  <si>
    <t>Time</t>
    <phoneticPr fontId="1" type="noConversion"/>
  </si>
  <si>
    <t>Date</t>
    <phoneticPr fontId="1" type="noConversion"/>
  </si>
  <si>
    <t>Date</t>
  </si>
  <si>
    <t>Date_new</t>
  </si>
  <si>
    <t>Event_date</t>
  </si>
  <si>
    <t>Event_date</t>
    <phoneticPr fontId="1" type="noConversion"/>
  </si>
  <si>
    <t>Event</t>
  </si>
  <si>
    <t>Laft_FU</t>
  </si>
  <si>
    <t>Laft_FU</t>
    <phoneticPr fontId="1" type="noConversion"/>
  </si>
  <si>
    <t>Event</t>
    <phoneticPr fontId="1" type="noConversion"/>
  </si>
  <si>
    <t>Duration</t>
  </si>
  <si>
    <t>Duration</t>
    <phoneticPr fontId="1" type="noConversion"/>
  </si>
  <si>
    <t>Age_cate</t>
  </si>
  <si>
    <t>Age_cate</t>
    <phoneticPr fontId="1" type="noConversion"/>
  </si>
  <si>
    <t>변수명</t>
    <phoneticPr fontId="1" type="noConversion"/>
  </si>
  <si>
    <t>척도</t>
    <phoneticPr fontId="1" type="noConversion"/>
  </si>
  <si>
    <t>변수 설명</t>
    <phoneticPr fontId="1" type="noConversion"/>
  </si>
  <si>
    <t>값 설명</t>
    <phoneticPr fontId="1" type="noConversion"/>
  </si>
  <si>
    <t>ID</t>
  </si>
  <si>
    <t>Group</t>
  </si>
  <si>
    <t>Age</t>
  </si>
  <si>
    <t>Time</t>
  </si>
  <si>
    <t>SCr1</t>
  </si>
  <si>
    <t>SCr2</t>
  </si>
  <si>
    <t>SCr3</t>
  </si>
  <si>
    <t>환자식별번호</t>
    <phoneticPr fontId="1" type="noConversion"/>
  </si>
  <si>
    <t>명목형</t>
    <phoneticPr fontId="1" type="noConversion"/>
  </si>
  <si>
    <t>연속형</t>
    <phoneticPr fontId="1" type="noConversion"/>
  </si>
  <si>
    <t>날짜</t>
    <phoneticPr fontId="1" type="noConversion"/>
  </si>
  <si>
    <t>날짜</t>
    <phoneticPr fontId="1" type="noConversion"/>
  </si>
  <si>
    <t>날짜</t>
    <phoneticPr fontId="1" type="noConversion"/>
  </si>
  <si>
    <t>연속형</t>
    <phoneticPr fontId="1" type="noConversion"/>
  </si>
  <si>
    <t>A치료 시행 여부</t>
    <phoneticPr fontId="1" type="noConversion"/>
  </si>
  <si>
    <t>성별</t>
    <phoneticPr fontId="1" type="noConversion"/>
  </si>
  <si>
    <t>중증등록일 당시 나이</t>
    <phoneticPr fontId="1" type="noConversion"/>
  </si>
  <si>
    <t>당뇨 여부</t>
    <phoneticPr fontId="1" type="noConversion"/>
  </si>
  <si>
    <t>6개월 후 Serum Creatinine</t>
    <phoneticPr fontId="1" type="noConversion"/>
  </si>
  <si>
    <t>Baseline Serum Creatinine</t>
    <phoneticPr fontId="1" type="noConversion"/>
  </si>
  <si>
    <t>1년 후 Serum Creatinine</t>
    <phoneticPr fontId="1" type="noConversion"/>
  </si>
  <si>
    <t>중증등록일</t>
    <phoneticPr fontId="1" type="noConversion"/>
  </si>
  <si>
    <t>중증등록일(날짜 형식)</t>
    <phoneticPr fontId="1" type="noConversion"/>
  </si>
  <si>
    <t>신장 이식일</t>
    <phoneticPr fontId="1" type="noConversion"/>
  </si>
  <si>
    <t>연구 종료일</t>
    <phoneticPr fontId="1" type="noConversion"/>
  </si>
  <si>
    <t>신장 이식 여부</t>
    <phoneticPr fontId="1" type="noConversion"/>
  </si>
  <si>
    <t>관찰 기간</t>
    <phoneticPr fontId="1" type="noConversion"/>
  </si>
  <si>
    <t>재범주화된 나이</t>
    <phoneticPr fontId="1" type="noConversion"/>
  </si>
  <si>
    <t>1: male, 2: female</t>
    <phoneticPr fontId="1" type="noConversion"/>
  </si>
  <si>
    <t>최소값: 27, 최대값: 70</t>
    <phoneticPr fontId="1" type="noConversion"/>
  </si>
  <si>
    <t>0: no, 1: yes</t>
    <phoneticPr fontId="1" type="noConversion"/>
  </si>
  <si>
    <t>단위: mg/dL</t>
    <phoneticPr fontId="1" type="noConversion"/>
  </si>
  <si>
    <t>YYYYMMDD</t>
    <phoneticPr fontId="1" type="noConversion"/>
  </si>
  <si>
    <t>YYYY-MM-DD</t>
    <phoneticPr fontId="1" type="noConversion"/>
  </si>
  <si>
    <t>단위: 일</t>
    <phoneticPr fontId="1" type="noConversion"/>
  </si>
  <si>
    <t>1: 2,30대, 2: 4,50대, 3: 6,70대</t>
    <phoneticPr fontId="1" type="noConversion"/>
  </si>
  <si>
    <t>총합계</t>
  </si>
  <si>
    <t>행 레이블</t>
  </si>
  <si>
    <t>평균 : SCr1</t>
  </si>
  <si>
    <t>표준 편차 : SCr1</t>
  </si>
  <si>
    <t>SCr</t>
    <phoneticPr fontId="1" type="noConversion"/>
  </si>
  <si>
    <t>2: control, 1: treatment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</si>
</sst>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_);[Red]\(0.00\)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/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176" fontId="3" fillId="0" borderId="0" xfId="1" applyNumberFormat="1" applyFont="1" applyAlignment="1"/>
    <xf numFmtId="177" fontId="3" fillId="0" borderId="0" xfId="1" applyNumberFormat="1" applyFont="1" applyAlignment="1"/>
    <xf numFmtId="14" fontId="3" fillId="0" borderId="0" xfId="1" applyNumberFormat="1" applyFont="1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176" fontId="0" fillId="0" borderId="0" xfId="0" applyNumberForma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1" applyNumberFormat="1" applyFont="1" applyAlignment="1">
      <alignment horizontal="center"/>
    </xf>
    <xf numFmtId="176" fontId="7" fillId="0" borderId="0" xfId="1" applyNumberFormat="1" applyFont="1" applyAlignment="1"/>
    <xf numFmtId="177" fontId="7" fillId="0" borderId="0" xfId="1" applyNumberFormat="1" applyFont="1" applyAlignment="1"/>
    <xf numFmtId="14" fontId="7" fillId="0" borderId="0" xfId="1" applyNumberFormat="1" applyFont="1" applyAlignment="1"/>
    <xf numFmtId="0" fontId="8" fillId="0" borderId="0" xfId="0" applyFont="1">
      <alignment vertical="center"/>
    </xf>
  </cellXfs>
  <cellStyles count="2">
    <cellStyle name="표준" xfId="0" builtinId="0"/>
    <cellStyle name="표준 3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[3장_실습_기초.xlsx]피벗!피벗 테이블1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피벗!$B$10:$B$11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피벗!$B$10:$B$11</c:f>
                <c:numCache>
                  <c:formatCode>General</c:formatCode>
                  <c:ptCount val="2"/>
                  <c:pt idx="0">
                    <c:v>0.25713566458194742</c:v>
                  </c:pt>
                  <c:pt idx="1">
                    <c:v>0.30822070014844888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피벗!$B$10:$B$11</c:f>
              <c:strCache>
                <c:ptCount val="2"/>
                <c:pt idx="0">
                  <c:v>1 </c:v>
                </c:pt>
                <c:pt idx="1">
                  <c:v>2 </c:v>
                </c:pt>
              </c:strCache>
            </c:strRef>
          </c:cat>
          <c:val>
            <c:numRef>
              <c:f>피벗!$B$10:$B$11</c:f>
              <c:numCache>
                <c:formatCode>General</c:formatCode>
                <c:ptCount val="2"/>
                <c:pt idx="0">
                  <c:v>1.2125000000000001</c:v>
                </c:pt>
                <c:pt idx="1">
                  <c:v>1.0899999999999999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7-43EC-9F51-D0ED68703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574488"/>
        <c:axId val="493567928"/>
      </c:barChart>
      <c:catAx>
        <c:axId val="49357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3567928"/>
        <c:crosses val="autoZero"/>
        <c:auto val="1"/>
        <c:lblAlgn val="ctr"/>
        <c:lblOffset val="100"/>
        <c:noMultiLvlLbl val="0"/>
      </c:catAx>
      <c:valAx>
        <c:axId val="49356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357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그래프!$H$1</c:f>
              <c:strCache>
                <c:ptCount val="1"/>
                <c:pt idx="0">
                  <c:v>SCr2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그래프!$G$2:$G$8</c:f>
              <c:numCache>
                <c:formatCode>0.00_);[Red]\(0.00\)</c:formatCode>
                <c:ptCount val="7"/>
                <c:pt idx="0">
                  <c:v>1.65</c:v>
                </c:pt>
                <c:pt idx="1">
                  <c:v>1.1200000000000001</c:v>
                </c:pt>
                <c:pt idx="2">
                  <c:v>0.69</c:v>
                </c:pt>
                <c:pt idx="3">
                  <c:v>1.44</c:v>
                </c:pt>
                <c:pt idx="4">
                  <c:v>1.0900000000000001</c:v>
                </c:pt>
                <c:pt idx="5">
                  <c:v>1.1399999999999999</c:v>
                </c:pt>
                <c:pt idx="6">
                  <c:v>0.99</c:v>
                </c:pt>
              </c:numCache>
            </c:numRef>
          </c:xVal>
          <c:yVal>
            <c:numRef>
              <c:f>그래프!$H$2:$H$8</c:f>
              <c:numCache>
                <c:formatCode>0.00_);[Red]\(0.00\)</c:formatCode>
                <c:ptCount val="7"/>
                <c:pt idx="0">
                  <c:v>1.75</c:v>
                </c:pt>
                <c:pt idx="1">
                  <c:v>1.34</c:v>
                </c:pt>
                <c:pt idx="2">
                  <c:v>0.75</c:v>
                </c:pt>
                <c:pt idx="3">
                  <c:v>1.41</c:v>
                </c:pt>
                <c:pt idx="4">
                  <c:v>1.02</c:v>
                </c:pt>
                <c:pt idx="5">
                  <c:v>1.1599999999999999</c:v>
                </c:pt>
                <c:pt idx="6">
                  <c:v>1.22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F-458D-BB3F-475D4D251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34424"/>
        <c:axId val="454539016"/>
      </c:scatterChart>
      <c:valAx>
        <c:axId val="45453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4539016"/>
        <c:crosses val="autoZero"/>
        <c:crossBetween val="midCat"/>
      </c:valAx>
      <c:valAx>
        <c:axId val="45453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4534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57150</xdr:rowOff>
    </xdr:from>
    <xdr:to>
      <xdr:col>10</xdr:col>
      <xdr:colOff>428625</xdr:colOff>
      <xdr:row>14</xdr:row>
      <xdr:rowOff>76200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628650</xdr:colOff>
      <xdr:row>0</xdr:row>
      <xdr:rowOff>138112</xdr:rowOff>
    </xdr:from>
    <xdr:to>
      <xdr:col>24</xdr:col>
      <xdr:colOff>400050</xdr:colOff>
      <xdr:row>13</xdr:row>
      <xdr:rowOff>157162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M500T8Z" refreshedDate="43487.60790023148" createdVersion="6" refreshedVersion="6" minRefreshableVersion="3" recordCount="7">
  <cacheSource type="worksheet">
    <worksheetSource ref="A1:P8" sheet="그래프"/>
  </cacheSource>
  <cacheFields count="16">
    <cacheField name="ID" numFmtId="176">
      <sharedItems containsSemiMixedTypes="0" containsString="0" containsNumber="1" containsInteger="1" minValue="1" maxValue="7"/>
    </cacheField>
    <cacheField name="Group" numFmtId="176">
      <sharedItems containsSemiMixedTypes="0" containsString="0" containsNumber="1" containsInteger="1" minValue="1" maxValue="2" count="2">
        <n v="1"/>
        <n v="2"/>
      </sharedItems>
    </cacheField>
    <cacheField name="Sex" numFmtId="176">
      <sharedItems containsSemiMixedTypes="0" containsString="0" containsNumber="1" containsInteger="1" minValue="1" maxValue="2" count="2">
        <n v="1"/>
        <n v="2"/>
      </sharedItems>
    </cacheField>
    <cacheField name="Age" numFmtId="176">
      <sharedItems containsSemiMixedTypes="0" containsString="0" containsNumber="1" containsInteger="1" minValue="27" maxValue="70"/>
    </cacheField>
    <cacheField name="DM" numFmtId="176">
      <sharedItems containsSemiMixedTypes="0" containsString="0" containsNumber="1" containsInteger="1" minValue="0" maxValue="1"/>
    </cacheField>
    <cacheField name="Time" numFmtId="176">
      <sharedItems containsNonDate="0" containsString="0" containsBlank="1"/>
    </cacheField>
    <cacheField name="SCr1" numFmtId="177">
      <sharedItems containsSemiMixedTypes="0" containsString="0" containsNumber="1" minValue="0.69" maxValue="1.65"/>
    </cacheField>
    <cacheField name="SCr2" numFmtId="177">
      <sharedItems containsSemiMixedTypes="0" containsString="0" containsNumber="1" minValue="0.75" maxValue="1.75"/>
    </cacheField>
    <cacheField name="SCr3" numFmtId="177">
      <sharedItems containsBlank="1" containsMixedTypes="1" containsNumber="1" minValue="0.71" maxValue="1.29"/>
    </cacheField>
    <cacheField name="Date" numFmtId="176">
      <sharedItems containsSemiMixedTypes="0" containsString="0" containsNumber="1" containsInteger="1" minValue="20110315" maxValue="20150921"/>
    </cacheField>
    <cacheField name="Date_new" numFmtId="14">
      <sharedItems containsSemiMixedTypes="0" containsNonDate="0" containsDate="1" containsString="0" minDate="2011-03-15T00:00:00" maxDate="2015-09-22T00:00:00"/>
    </cacheField>
    <cacheField name="Event_date" numFmtId="14">
      <sharedItems containsNonDate="0" containsDate="1" containsString="0" containsBlank="1" minDate="2013-04-30T00:00:00" maxDate="2015-11-29T00:00:00"/>
    </cacheField>
    <cacheField name="Laft_FU" numFmtId="14">
      <sharedItems containsSemiMixedTypes="0" containsNonDate="0" containsDate="1" containsString="0" minDate="2013-04-30T00:00:00" maxDate="2016-01-01T00:00:00"/>
    </cacheField>
    <cacheField name="Event" numFmtId="0">
      <sharedItems containsSemiMixedTypes="0" containsString="0" containsNumber="1" containsInteger="1" minValue="0" maxValue="1"/>
    </cacheField>
    <cacheField name="Duration" numFmtId="0">
      <sharedItems containsSemiMixedTypes="0" containsString="0" containsNumber="1" containsInteger="1" minValue="101" maxValue="1420"/>
    </cacheField>
    <cacheField name="Age_cate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n v="1"/>
    <x v="0"/>
    <x v="0"/>
    <n v="27"/>
    <n v="0"/>
    <m/>
    <n v="1.65"/>
    <n v="1.75"/>
    <s v=" "/>
    <n v="20110315"/>
    <d v="2011-03-15T00:00:00"/>
    <d v="2015-01-19T00:00:00"/>
    <d v="2015-01-19T00:00:00"/>
    <n v="1"/>
    <n v="1406"/>
    <n v="1"/>
  </r>
  <r>
    <n v="2"/>
    <x v="0"/>
    <x v="0"/>
    <n v="36"/>
    <n v="1"/>
    <m/>
    <n v="1.1200000000000001"/>
    <n v="1.34"/>
    <n v="1.29"/>
    <n v="20130810"/>
    <d v="2013-08-10T00:00:00"/>
    <m/>
    <d v="2015-12-31T00:00:00"/>
    <n v="0"/>
    <n v="873"/>
    <n v="1"/>
  </r>
  <r>
    <n v="3"/>
    <x v="1"/>
    <x v="1"/>
    <n v="64"/>
    <n v="0"/>
    <m/>
    <n v="0.69"/>
    <n v="0.75"/>
    <n v="0.71"/>
    <n v="20150921"/>
    <d v="2015-09-21T00:00:00"/>
    <m/>
    <d v="2015-12-31T00:00:00"/>
    <n v="0"/>
    <n v="101"/>
    <n v="3"/>
  </r>
  <r>
    <n v="4"/>
    <x v="1"/>
    <x v="0"/>
    <n v="55"/>
    <n v="1"/>
    <m/>
    <n v="1.44"/>
    <n v="1.41"/>
    <n v="1.22"/>
    <n v="20120108"/>
    <d v="2012-01-08T00:00:00"/>
    <d v="2015-11-28T00:00:00"/>
    <d v="2015-11-28T00:00:00"/>
    <n v="1"/>
    <n v="1420"/>
    <n v="2"/>
  </r>
  <r>
    <n v="5"/>
    <x v="0"/>
    <x v="1"/>
    <n v="51"/>
    <n v="0"/>
    <m/>
    <n v="1.0900000000000001"/>
    <n v="1.02"/>
    <m/>
    <n v="20141018"/>
    <d v="2014-10-18T00:00:00"/>
    <m/>
    <d v="2015-12-31T00:00:00"/>
    <n v="0"/>
    <n v="439"/>
    <n v="2"/>
  </r>
  <r>
    <n v="6"/>
    <x v="1"/>
    <x v="0"/>
    <n v="41"/>
    <n v="0"/>
    <m/>
    <n v="1.1399999999999999"/>
    <n v="1.1599999999999999"/>
    <n v="0.91"/>
    <n v="20130527"/>
    <d v="2013-05-27T00:00:00"/>
    <m/>
    <d v="2015-12-31T00:00:00"/>
    <n v="0"/>
    <n v="948"/>
    <n v="2"/>
  </r>
  <r>
    <n v="7"/>
    <x v="0"/>
    <x v="1"/>
    <n v="70"/>
    <n v="1"/>
    <m/>
    <n v="0.99"/>
    <n v="1.22"/>
    <n v="1.01"/>
    <n v="20121202"/>
    <d v="2012-12-02T00:00:00"/>
    <d v="2013-04-30T00:00:00"/>
    <d v="2013-04-30T00:00:00"/>
    <n v="1"/>
    <n v="149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6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 chartFormat="19">
  <location ref="A3:B6" firstHeaderRow="1" firstDataRow="1" firstDataCol="1"/>
  <pivotFields count="16">
    <pivotField numFmtId="176" showAll="0"/>
    <pivotField axis="axisRow" numFmtId="176" showAll="0">
      <items count="3">
        <item x="0"/>
        <item x="1"/>
        <item t="default"/>
      </items>
    </pivotField>
    <pivotField numFmtId="176" showAll="0">
      <items count="3">
        <item x="0"/>
        <item x="1"/>
        <item t="default"/>
      </items>
    </pivotField>
    <pivotField numFmtId="176" showAll="0"/>
    <pivotField numFmtId="176" showAll="0"/>
    <pivotField showAll="0"/>
    <pivotField dataField="1" numFmtId="177" showAll="0"/>
    <pivotField numFmtId="177" showAll="0"/>
    <pivotField showAll="0"/>
    <pivotField numFmtId="176" showAll="0"/>
    <pivotField numFmtId="14" showAll="0"/>
    <pivotField showAll="0"/>
    <pivotField numFmtId="14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평균 : SCr1" fld="6" subtotal="average" baseField="1" baseItem="0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2" cacheId="6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9:B12" firstHeaderRow="1" firstDataRow="1" firstDataCol="1"/>
  <pivotFields count="16">
    <pivotField numFmtId="176" showAll="0"/>
    <pivotField axis="axisRow" numFmtId="176" showAll="0">
      <items count="3">
        <item x="0"/>
        <item x="1"/>
        <item t="default"/>
      </items>
    </pivotField>
    <pivotField numFmtId="176" showAll="0">
      <items count="3">
        <item x="0"/>
        <item x="1"/>
        <item t="default"/>
      </items>
    </pivotField>
    <pivotField numFmtId="176" showAll="0"/>
    <pivotField numFmtId="176" showAll="0"/>
    <pivotField showAll="0"/>
    <pivotField dataField="1" numFmtId="177" showAll="0"/>
    <pivotField numFmtId="177" showAll="0"/>
    <pivotField showAll="0"/>
    <pivotField numFmtId="176" showAll="0"/>
    <pivotField numFmtId="14" showAll="0"/>
    <pivotField showAll="0"/>
    <pivotField numFmtId="14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표준 편차 : SCr1" fld="6" subtotal="stdDevp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130" zoomScaleNormal="130" workbookViewId="0">
      <selection activeCell="F4" sqref="F4"/>
    </sheetView>
  </sheetViews>
  <sheetFormatPr defaultRowHeight="16.5"/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1">
        <v>1158863</v>
      </c>
      <c r="B2" s="1">
        <v>1</v>
      </c>
      <c r="C2" s="1">
        <v>27</v>
      </c>
      <c r="D2" s="1">
        <v>1</v>
      </c>
      <c r="E2" s="1">
        <v>0</v>
      </c>
    </row>
    <row r="3" spans="1:5">
      <c r="A3" s="1">
        <v>1162125</v>
      </c>
      <c r="B3" s="1">
        <v>2</v>
      </c>
      <c r="C3" s="1">
        <v>36</v>
      </c>
      <c r="D3" s="1">
        <v>2</v>
      </c>
      <c r="E3" s="1">
        <v>1</v>
      </c>
    </row>
    <row r="4" spans="1:5">
      <c r="A4" s="1">
        <v>1163458</v>
      </c>
      <c r="B4" s="1">
        <v>2</v>
      </c>
      <c r="C4" s="1">
        <v>64</v>
      </c>
      <c r="D4" s="1">
        <v>1</v>
      </c>
      <c r="E4" s="1">
        <v>1</v>
      </c>
    </row>
    <row r="5" spans="1:5">
      <c r="A5" s="1">
        <v>1167488</v>
      </c>
      <c r="B5" s="1">
        <v>1</v>
      </c>
      <c r="C5" s="1">
        <v>55</v>
      </c>
      <c r="D5" s="1">
        <v>2</v>
      </c>
      <c r="E5" s="1">
        <v>1</v>
      </c>
    </row>
    <row r="6" spans="1:5">
      <c r="A6" s="1">
        <v>1169981</v>
      </c>
      <c r="B6" s="1">
        <v>1</v>
      </c>
      <c r="C6" s="1">
        <v>51</v>
      </c>
      <c r="D6" s="1">
        <v>1</v>
      </c>
      <c r="E6" s="1">
        <v>0</v>
      </c>
    </row>
    <row r="7" spans="1:5">
      <c r="A7" s="1">
        <v>1774225</v>
      </c>
      <c r="B7" s="1">
        <v>2</v>
      </c>
      <c r="C7" s="1">
        <v>41</v>
      </c>
      <c r="D7" s="1">
        <v>2</v>
      </c>
      <c r="E7" s="1">
        <v>0</v>
      </c>
    </row>
    <row r="8" spans="1:5">
      <c r="A8" s="1">
        <v>1779210</v>
      </c>
      <c r="B8" s="1">
        <v>1</v>
      </c>
      <c r="C8" s="1">
        <v>70</v>
      </c>
      <c r="D8" s="1">
        <v>2</v>
      </c>
      <c r="E8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7" sqref="D7"/>
    </sheetView>
  </sheetViews>
  <sheetFormatPr defaultRowHeight="16.5"/>
  <sheetData>
    <row r="1" spans="1:2">
      <c r="A1" s="2" t="s">
        <v>6</v>
      </c>
      <c r="B1" s="2" t="s">
        <v>4</v>
      </c>
    </row>
    <row r="2" spans="1:2">
      <c r="A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E15" sqref="E15"/>
    </sheetView>
  </sheetViews>
  <sheetFormatPr defaultRowHeight="16.5"/>
  <cols>
    <col min="2" max="10" width="9" customWidth="1"/>
  </cols>
  <sheetData>
    <row r="1" spans="1:10">
      <c r="A1" s="3" t="s">
        <v>0</v>
      </c>
      <c r="B1" s="3" t="s">
        <v>4</v>
      </c>
      <c r="C1" s="3" t="s">
        <v>1</v>
      </c>
      <c r="D1" s="3" t="s">
        <v>3</v>
      </c>
      <c r="E1" s="3" t="s">
        <v>7</v>
      </c>
      <c r="F1" s="3" t="s">
        <v>13</v>
      </c>
      <c r="G1" s="3" t="s">
        <v>71</v>
      </c>
      <c r="H1" s="3" t="s">
        <v>12</v>
      </c>
      <c r="I1" s="3" t="s">
        <v>10</v>
      </c>
      <c r="J1" s="3" t="s">
        <v>11</v>
      </c>
    </row>
    <row r="2" spans="1:10">
      <c r="A2" s="4">
        <v>1</v>
      </c>
      <c r="B2" s="4">
        <v>1</v>
      </c>
      <c r="C2" s="4">
        <v>1</v>
      </c>
      <c r="D2" s="4">
        <v>27</v>
      </c>
      <c r="E2" s="4">
        <v>0</v>
      </c>
      <c r="F2" s="4"/>
      <c r="G2" s="4"/>
      <c r="H2" s="5">
        <v>1.65</v>
      </c>
      <c r="I2" s="5">
        <v>1.75</v>
      </c>
      <c r="J2" s="5" t="s">
        <v>8</v>
      </c>
    </row>
    <row r="3" spans="1:10">
      <c r="A3" s="4">
        <v>2</v>
      </c>
      <c r="B3" s="4">
        <v>1</v>
      </c>
      <c r="C3" s="4">
        <v>1</v>
      </c>
      <c r="D3" s="4">
        <v>36</v>
      </c>
      <c r="E3" s="4">
        <v>1</v>
      </c>
      <c r="F3" s="4"/>
      <c r="G3" s="4"/>
      <c r="H3" s="5">
        <v>1.1200000000000001</v>
      </c>
      <c r="I3" s="5">
        <v>1.34</v>
      </c>
      <c r="J3" s="5">
        <v>1.29</v>
      </c>
    </row>
    <row r="4" spans="1:10">
      <c r="A4" s="4">
        <v>3</v>
      </c>
      <c r="B4" s="4">
        <v>2</v>
      </c>
      <c r="C4" s="4">
        <v>2</v>
      </c>
      <c r="D4" s="4">
        <v>64</v>
      </c>
      <c r="E4" s="4">
        <v>0</v>
      </c>
      <c r="F4" s="4"/>
      <c r="G4" s="4"/>
      <c r="H4" s="5">
        <v>0.69</v>
      </c>
      <c r="I4" s="5">
        <v>0.75</v>
      </c>
      <c r="J4" s="5">
        <v>0.71</v>
      </c>
    </row>
    <row r="5" spans="1:10">
      <c r="A5" s="4">
        <v>4</v>
      </c>
      <c r="B5" s="4">
        <v>2</v>
      </c>
      <c r="C5" s="4">
        <v>1</v>
      </c>
      <c r="D5" s="4">
        <v>55</v>
      </c>
      <c r="E5" s="4">
        <v>1</v>
      </c>
      <c r="F5" s="4"/>
      <c r="G5" s="4"/>
      <c r="H5" s="5">
        <v>1.44</v>
      </c>
      <c r="I5" s="5">
        <v>1.41</v>
      </c>
      <c r="J5" s="5">
        <v>1.22</v>
      </c>
    </row>
    <row r="6" spans="1:10">
      <c r="A6" s="4">
        <v>5</v>
      </c>
      <c r="B6" s="4">
        <v>1</v>
      </c>
      <c r="C6" s="4">
        <v>2</v>
      </c>
      <c r="D6" s="4">
        <v>51</v>
      </c>
      <c r="E6" s="4">
        <v>0</v>
      </c>
      <c r="F6" s="4"/>
      <c r="G6" s="4"/>
      <c r="H6" s="5">
        <v>1.0900000000000001</v>
      </c>
      <c r="I6" s="5">
        <v>1.02</v>
      </c>
      <c r="J6" s="5"/>
    </row>
    <row r="7" spans="1:10">
      <c r="A7" s="4">
        <v>6</v>
      </c>
      <c r="B7" s="4">
        <v>2</v>
      </c>
      <c r="C7" s="4">
        <v>1</v>
      </c>
      <c r="D7" s="4">
        <v>41</v>
      </c>
      <c r="E7" s="4">
        <v>0</v>
      </c>
      <c r="F7" s="4"/>
      <c r="G7" s="4"/>
      <c r="H7" s="5">
        <v>1.1399999999999999</v>
      </c>
      <c r="I7" s="5">
        <v>1.1599999999999999</v>
      </c>
      <c r="J7" s="5">
        <v>0.91</v>
      </c>
    </row>
    <row r="8" spans="1:10">
      <c r="A8" s="4">
        <v>7</v>
      </c>
      <c r="B8" s="4">
        <v>1</v>
      </c>
      <c r="C8" s="4">
        <v>2</v>
      </c>
      <c r="D8" s="4">
        <v>70</v>
      </c>
      <c r="E8" s="4">
        <v>1</v>
      </c>
      <c r="F8" s="4"/>
      <c r="G8" s="4"/>
      <c r="H8" s="5">
        <v>0.99</v>
      </c>
      <c r="I8" s="5">
        <v>1.22</v>
      </c>
      <c r="J8" s="5">
        <v>1.01</v>
      </c>
    </row>
  </sheetData>
  <phoneticPr fontId="1" type="noConversion"/>
  <conditionalFormatting sqref="A1:A1048576">
    <cfRule type="duplicateValues" dxfId="2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G16" sqref="G16"/>
    </sheetView>
  </sheetViews>
  <sheetFormatPr defaultRowHeight="16.5"/>
  <cols>
    <col min="1" max="1" width="9" style="13"/>
    <col min="2" max="9" width="9" style="13" customWidth="1"/>
    <col min="10" max="11" width="10" style="13" customWidth="1"/>
    <col min="12" max="13" width="12.375" style="13" customWidth="1"/>
    <col min="14" max="15" width="9" style="13" customWidth="1"/>
    <col min="16" max="16384" width="9" style="13"/>
  </cols>
  <sheetData>
    <row r="1" spans="1:16">
      <c r="A1" s="14" t="s">
        <v>0</v>
      </c>
      <c r="B1" s="14" t="s">
        <v>4</v>
      </c>
      <c r="C1" s="14" t="s">
        <v>1</v>
      </c>
      <c r="D1" s="14" t="s">
        <v>3</v>
      </c>
      <c r="E1" s="14" t="s">
        <v>7</v>
      </c>
      <c r="F1" s="14" t="s">
        <v>13</v>
      </c>
      <c r="G1" s="14" t="s">
        <v>12</v>
      </c>
      <c r="H1" s="14" t="s">
        <v>10</v>
      </c>
      <c r="I1" s="14" t="s">
        <v>11</v>
      </c>
      <c r="J1" s="14" t="s">
        <v>14</v>
      </c>
      <c r="K1" s="14" t="s">
        <v>16</v>
      </c>
      <c r="L1" s="14" t="s">
        <v>18</v>
      </c>
      <c r="M1" s="14" t="s">
        <v>21</v>
      </c>
      <c r="N1" s="14" t="s">
        <v>22</v>
      </c>
      <c r="O1" s="14" t="s">
        <v>24</v>
      </c>
      <c r="P1" s="14" t="s">
        <v>26</v>
      </c>
    </row>
    <row r="2" spans="1:16">
      <c r="A2" s="15">
        <v>1</v>
      </c>
      <c r="B2" s="15">
        <v>1</v>
      </c>
      <c r="C2" s="15">
        <v>1</v>
      </c>
      <c r="D2" s="15">
        <v>27</v>
      </c>
      <c r="E2" s="15">
        <v>0</v>
      </c>
      <c r="F2" s="15"/>
      <c r="G2" s="16">
        <v>1.65</v>
      </c>
      <c r="H2" s="16">
        <v>1.75</v>
      </c>
      <c r="I2" s="16" t="s">
        <v>8</v>
      </c>
      <c r="J2" s="15">
        <v>20110315</v>
      </c>
      <c r="K2" s="17"/>
      <c r="L2" s="17">
        <v>42023</v>
      </c>
      <c r="M2" s="17">
        <v>42023</v>
      </c>
      <c r="N2" s="13">
        <f>IF(L2&lt;&gt;"",1,0)</f>
        <v>1</v>
      </c>
      <c r="O2" s="13">
        <f>IF(N2=1, L2-K2, M2-K2)</f>
        <v>42023</v>
      </c>
      <c r="P2" s="13">
        <f>IF(D2&lt;40, 1, IF(D2&gt;=60, 3, 2))</f>
        <v>1</v>
      </c>
    </row>
    <row r="3" spans="1:16">
      <c r="A3" s="15">
        <v>2</v>
      </c>
      <c r="B3" s="15">
        <v>1</v>
      </c>
      <c r="C3" s="15">
        <v>1</v>
      </c>
      <c r="D3" s="15">
        <v>36</v>
      </c>
      <c r="E3" s="15">
        <v>1</v>
      </c>
      <c r="F3" s="15"/>
      <c r="G3" s="16">
        <v>1.1200000000000001</v>
      </c>
      <c r="H3" s="16">
        <v>1.34</v>
      </c>
      <c r="I3" s="16">
        <v>1.29</v>
      </c>
      <c r="J3" s="15">
        <v>20130810</v>
      </c>
      <c r="K3" s="17"/>
      <c r="L3" s="17"/>
      <c r="M3" s="17">
        <v>42369</v>
      </c>
    </row>
    <row r="4" spans="1:16">
      <c r="A4" s="15">
        <v>3</v>
      </c>
      <c r="B4" s="15">
        <v>2</v>
      </c>
      <c r="C4" s="15">
        <v>2</v>
      </c>
      <c r="D4" s="15">
        <v>64</v>
      </c>
      <c r="E4" s="15">
        <v>0</v>
      </c>
      <c r="F4" s="15"/>
      <c r="G4" s="16">
        <v>0.69</v>
      </c>
      <c r="H4" s="16">
        <v>0.75</v>
      </c>
      <c r="I4" s="16">
        <v>0.71</v>
      </c>
      <c r="J4" s="15">
        <v>20150921</v>
      </c>
      <c r="K4" s="17"/>
      <c r="L4" s="17"/>
      <c r="M4" s="17">
        <v>42369</v>
      </c>
    </row>
    <row r="5" spans="1:16">
      <c r="A5" s="15">
        <v>4</v>
      </c>
      <c r="B5" s="15">
        <v>2</v>
      </c>
      <c r="C5" s="15">
        <v>1</v>
      </c>
      <c r="D5" s="15">
        <v>55</v>
      </c>
      <c r="E5" s="15">
        <v>1</v>
      </c>
      <c r="F5" s="15"/>
      <c r="G5" s="16">
        <v>1.44</v>
      </c>
      <c r="H5" s="16">
        <v>1.41</v>
      </c>
      <c r="I5" s="16">
        <v>1.22</v>
      </c>
      <c r="J5" s="15">
        <v>20120108</v>
      </c>
      <c r="K5" s="17"/>
      <c r="L5" s="17">
        <v>42336</v>
      </c>
      <c r="M5" s="17">
        <v>42336</v>
      </c>
    </row>
    <row r="6" spans="1:16">
      <c r="A6" s="15">
        <v>5</v>
      </c>
      <c r="B6" s="15">
        <v>1</v>
      </c>
      <c r="C6" s="15">
        <v>2</v>
      </c>
      <c r="D6" s="15">
        <v>51</v>
      </c>
      <c r="E6" s="15">
        <v>0</v>
      </c>
      <c r="F6" s="15"/>
      <c r="G6" s="16">
        <v>1.0900000000000001</v>
      </c>
      <c r="H6" s="16">
        <v>1.02</v>
      </c>
      <c r="I6" s="16"/>
      <c r="J6" s="15">
        <v>20141018</v>
      </c>
      <c r="K6" s="17"/>
      <c r="L6" s="17"/>
      <c r="M6" s="17">
        <v>42369</v>
      </c>
    </row>
    <row r="7" spans="1:16">
      <c r="A7" s="15">
        <v>6</v>
      </c>
      <c r="B7" s="15">
        <v>2</v>
      </c>
      <c r="C7" s="15">
        <v>1</v>
      </c>
      <c r="D7" s="15">
        <v>41</v>
      </c>
      <c r="E7" s="15">
        <v>0</v>
      </c>
      <c r="F7" s="15"/>
      <c r="G7" s="16">
        <v>1.1399999999999999</v>
      </c>
      <c r="H7" s="16">
        <v>1.1599999999999999</v>
      </c>
      <c r="I7" s="16">
        <v>0.91</v>
      </c>
      <c r="J7" s="15">
        <v>20130527</v>
      </c>
      <c r="K7" s="17"/>
      <c r="L7" s="17"/>
      <c r="M7" s="17">
        <v>42369</v>
      </c>
    </row>
    <row r="8" spans="1:16">
      <c r="A8" s="15">
        <v>7</v>
      </c>
      <c r="B8" s="15">
        <v>1</v>
      </c>
      <c r="C8" s="15">
        <v>2</v>
      </c>
      <c r="D8" s="15">
        <v>70</v>
      </c>
      <c r="E8" s="15">
        <v>1</v>
      </c>
      <c r="F8" s="15"/>
      <c r="G8" s="16">
        <v>0.99</v>
      </c>
      <c r="H8" s="16">
        <v>1.22</v>
      </c>
      <c r="I8" s="16">
        <v>1.01</v>
      </c>
      <c r="J8" s="15">
        <v>20121202</v>
      </c>
      <c r="K8" s="17"/>
      <c r="L8" s="17">
        <v>41394</v>
      </c>
      <c r="M8" s="17">
        <v>41394</v>
      </c>
    </row>
    <row r="9" spans="1:16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</sheetData>
  <phoneticPr fontId="1" type="noConversion"/>
  <conditionalFormatting sqref="A1:A8 A10:A1048576"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I4" sqref="I4"/>
    </sheetView>
  </sheetViews>
  <sheetFormatPr defaultRowHeight="16.5"/>
  <cols>
    <col min="1" max="2" width="15.375" customWidth="1"/>
    <col min="3" max="3" width="25.625" style="1" customWidth="1"/>
    <col min="4" max="4" width="27" style="1" customWidth="1"/>
  </cols>
  <sheetData>
    <row r="1" spans="1:4">
      <c r="A1" s="9" t="s">
        <v>27</v>
      </c>
      <c r="B1" s="9" t="s">
        <v>28</v>
      </c>
      <c r="C1" s="9" t="s">
        <v>29</v>
      </c>
      <c r="D1" s="9" t="s">
        <v>30</v>
      </c>
    </row>
    <row r="2" spans="1:4">
      <c r="A2" s="1" t="s">
        <v>31</v>
      </c>
      <c r="B2" s="1" t="s">
        <v>39</v>
      </c>
      <c r="C2" s="1" t="s">
        <v>38</v>
      </c>
    </row>
    <row r="3" spans="1:4">
      <c r="A3" s="1" t="s">
        <v>32</v>
      </c>
      <c r="B3" s="1" t="s">
        <v>39</v>
      </c>
      <c r="C3" s="1" t="s">
        <v>45</v>
      </c>
      <c r="D3" s="7" t="s">
        <v>72</v>
      </c>
    </row>
    <row r="4" spans="1:4">
      <c r="A4" s="1" t="s">
        <v>1</v>
      </c>
      <c r="B4" s="1" t="s">
        <v>39</v>
      </c>
      <c r="C4" s="1" t="s">
        <v>46</v>
      </c>
      <c r="D4" s="7" t="s">
        <v>59</v>
      </c>
    </row>
    <row r="5" spans="1:4">
      <c r="A5" s="1" t="s">
        <v>33</v>
      </c>
      <c r="B5" s="1" t="s">
        <v>40</v>
      </c>
      <c r="C5" s="1" t="s">
        <v>47</v>
      </c>
      <c r="D5" s="7" t="s">
        <v>60</v>
      </c>
    </row>
    <row r="6" spans="1:4">
      <c r="A6" s="1" t="s">
        <v>7</v>
      </c>
      <c r="B6" s="1" t="s">
        <v>39</v>
      </c>
      <c r="C6" s="1" t="s">
        <v>48</v>
      </c>
      <c r="D6" s="7" t="s">
        <v>61</v>
      </c>
    </row>
    <row r="7" spans="1:4">
      <c r="A7" s="1" t="s">
        <v>34</v>
      </c>
      <c r="B7" s="1" t="s">
        <v>39</v>
      </c>
      <c r="D7" s="7"/>
    </row>
    <row r="8" spans="1:4">
      <c r="A8" s="1" t="s">
        <v>35</v>
      </c>
      <c r="B8" s="1" t="s">
        <v>40</v>
      </c>
      <c r="C8" s="1" t="s">
        <v>50</v>
      </c>
      <c r="D8" s="7" t="s">
        <v>62</v>
      </c>
    </row>
    <row r="9" spans="1:4">
      <c r="A9" s="1" t="s">
        <v>36</v>
      </c>
      <c r="B9" s="1" t="s">
        <v>40</v>
      </c>
      <c r="C9" s="1" t="s">
        <v>49</v>
      </c>
      <c r="D9" s="7" t="s">
        <v>62</v>
      </c>
    </row>
    <row r="10" spans="1:4">
      <c r="A10" s="1" t="s">
        <v>37</v>
      </c>
      <c r="B10" s="1" t="s">
        <v>40</v>
      </c>
      <c r="C10" s="1" t="s">
        <v>51</v>
      </c>
      <c r="D10" s="7" t="s">
        <v>62</v>
      </c>
    </row>
    <row r="11" spans="1:4">
      <c r="A11" s="1" t="s">
        <v>15</v>
      </c>
      <c r="B11" s="1" t="s">
        <v>41</v>
      </c>
      <c r="C11" s="1" t="s">
        <v>52</v>
      </c>
      <c r="D11" s="7" t="s">
        <v>63</v>
      </c>
    </row>
    <row r="12" spans="1:4">
      <c r="A12" s="1" t="s">
        <v>16</v>
      </c>
      <c r="B12" s="1" t="s">
        <v>42</v>
      </c>
      <c r="C12" s="1" t="s">
        <v>53</v>
      </c>
      <c r="D12" s="7" t="s">
        <v>64</v>
      </c>
    </row>
    <row r="13" spans="1:4">
      <c r="A13" s="1" t="s">
        <v>17</v>
      </c>
      <c r="B13" s="1" t="s">
        <v>43</v>
      </c>
      <c r="C13" s="1" t="s">
        <v>54</v>
      </c>
      <c r="D13" s="7" t="s">
        <v>64</v>
      </c>
    </row>
    <row r="14" spans="1:4">
      <c r="A14" s="1" t="s">
        <v>20</v>
      </c>
      <c r="B14" s="1" t="s">
        <v>43</v>
      </c>
      <c r="C14" s="1" t="s">
        <v>55</v>
      </c>
      <c r="D14" s="8">
        <v>42369</v>
      </c>
    </row>
    <row r="15" spans="1:4">
      <c r="A15" s="1" t="s">
        <v>19</v>
      </c>
      <c r="B15" s="1" t="s">
        <v>39</v>
      </c>
      <c r="C15" s="1" t="s">
        <v>56</v>
      </c>
      <c r="D15" s="7" t="s">
        <v>61</v>
      </c>
    </row>
    <row r="16" spans="1:4">
      <c r="A16" s="1" t="s">
        <v>23</v>
      </c>
      <c r="B16" s="1" t="s">
        <v>44</v>
      </c>
      <c r="C16" s="1" t="s">
        <v>57</v>
      </c>
      <c r="D16" s="7" t="s">
        <v>65</v>
      </c>
    </row>
    <row r="17" spans="1:4">
      <c r="A17" s="1" t="s">
        <v>25</v>
      </c>
      <c r="B17" s="1" t="s">
        <v>39</v>
      </c>
      <c r="C17" s="1" t="s">
        <v>58</v>
      </c>
      <c r="D17" s="7" t="s">
        <v>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workbookViewId="0">
      <selection activeCell="H21" sqref="H21"/>
    </sheetView>
  </sheetViews>
  <sheetFormatPr defaultRowHeight="16.5"/>
  <cols>
    <col min="1" max="1" width="11.875" bestFit="1" customWidth="1"/>
    <col min="2" max="3" width="11.5" customWidth="1"/>
    <col min="4" max="4" width="7.375" customWidth="1"/>
  </cols>
  <sheetData>
    <row r="3" spans="1:2">
      <c r="A3" s="11" t="s">
        <v>68</v>
      </c>
      <c r="B3" t="s">
        <v>69</v>
      </c>
    </row>
    <row r="4" spans="1:2">
      <c r="A4" s="12">
        <v>1</v>
      </c>
      <c r="B4" s="10">
        <v>1.2125000000000001</v>
      </c>
    </row>
    <row r="5" spans="1:2">
      <c r="A5" s="12">
        <v>2</v>
      </c>
      <c r="B5" s="10">
        <v>1.0899999999999999</v>
      </c>
    </row>
    <row r="6" spans="1:2">
      <c r="A6" s="12" t="s">
        <v>67</v>
      </c>
      <c r="B6" s="10">
        <v>1.1600000000000001</v>
      </c>
    </row>
    <row r="9" spans="1:2">
      <c r="A9" s="11" t="s">
        <v>68</v>
      </c>
      <c r="B9" t="s">
        <v>70</v>
      </c>
    </row>
    <row r="10" spans="1:2">
      <c r="A10" s="12">
        <v>1</v>
      </c>
      <c r="B10" s="10">
        <v>0.25713566458194742</v>
      </c>
    </row>
    <row r="11" spans="1:2">
      <c r="A11" s="12">
        <v>2</v>
      </c>
      <c r="B11" s="10">
        <v>0.30822070014844888</v>
      </c>
    </row>
    <row r="12" spans="1:2">
      <c r="A12" s="12" t="s">
        <v>67</v>
      </c>
      <c r="B12" s="10">
        <v>0.28665559225563431</v>
      </c>
    </row>
    <row r="21" spans="6:8">
      <c r="F21" s="12"/>
      <c r="G21" s="10"/>
      <c r="H21" s="10"/>
    </row>
    <row r="22" spans="6:8">
      <c r="F22" s="12"/>
      <c r="G22" s="10"/>
      <c r="H22" s="10"/>
    </row>
  </sheetData>
  <phoneticPr fontId="1" type="noConversion"/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K17" sqref="K17"/>
    </sheetView>
  </sheetViews>
  <sheetFormatPr defaultRowHeight="16.5"/>
  <cols>
    <col min="2" max="9" width="9" customWidth="1"/>
    <col min="10" max="12" width="10" customWidth="1"/>
    <col min="13" max="13" width="9.5" customWidth="1"/>
    <col min="14" max="15" width="9" customWidth="1"/>
  </cols>
  <sheetData>
    <row r="1" spans="1:16">
      <c r="A1" s="3" t="s">
        <v>9</v>
      </c>
      <c r="B1" s="3" t="s">
        <v>4</v>
      </c>
      <c r="C1" s="3" t="s">
        <v>1</v>
      </c>
      <c r="D1" s="3" t="s">
        <v>3</v>
      </c>
      <c r="E1" s="3" t="s">
        <v>7</v>
      </c>
      <c r="F1" s="3" t="s">
        <v>13</v>
      </c>
      <c r="G1" s="3" t="s">
        <v>12</v>
      </c>
      <c r="H1" s="3" t="s">
        <v>10</v>
      </c>
      <c r="I1" s="3" t="s">
        <v>11</v>
      </c>
      <c r="J1" s="3" t="s">
        <v>14</v>
      </c>
      <c r="K1" s="3" t="s">
        <v>16</v>
      </c>
      <c r="L1" s="3" t="s">
        <v>18</v>
      </c>
      <c r="M1" s="3" t="s">
        <v>21</v>
      </c>
      <c r="N1" s="3" t="s">
        <v>22</v>
      </c>
      <c r="O1" s="3" t="s">
        <v>24</v>
      </c>
      <c r="P1" s="3" t="s">
        <v>26</v>
      </c>
    </row>
    <row r="2" spans="1:16">
      <c r="A2" s="4">
        <v>1</v>
      </c>
      <c r="B2" s="4">
        <v>1</v>
      </c>
      <c r="C2" s="4">
        <v>1</v>
      </c>
      <c r="D2" s="4">
        <v>27</v>
      </c>
      <c r="E2" s="4">
        <v>0</v>
      </c>
      <c r="F2" s="4"/>
      <c r="G2" s="5">
        <v>1.65</v>
      </c>
      <c r="H2" s="5">
        <v>1.75</v>
      </c>
      <c r="I2" s="5" t="s">
        <v>8</v>
      </c>
      <c r="J2" s="4">
        <v>20110315</v>
      </c>
      <c r="K2" s="6">
        <v>40617</v>
      </c>
      <c r="L2" s="6">
        <v>42023</v>
      </c>
      <c r="M2" s="6">
        <v>42023</v>
      </c>
      <c r="N2" s="18">
        <f t="shared" ref="N2:N8" si="0">IF(L2&lt;&gt;"",1,0)</f>
        <v>1</v>
      </c>
      <c r="O2" s="18">
        <f t="shared" ref="O2:O8" si="1">IF(N2=1, L2-K2, M2-K2)</f>
        <v>1406</v>
      </c>
      <c r="P2" s="18">
        <f t="shared" ref="P2:P8" si="2">IF(D2&lt;40, 1, IF(D2&gt;=60, 3, 2))</f>
        <v>1</v>
      </c>
    </row>
    <row r="3" spans="1:16">
      <c r="A3" s="4">
        <v>2</v>
      </c>
      <c r="B3" s="4">
        <v>1</v>
      </c>
      <c r="C3" s="4">
        <v>1</v>
      </c>
      <c r="D3" s="4">
        <v>36</v>
      </c>
      <c r="E3" s="4">
        <v>1</v>
      </c>
      <c r="F3" s="4"/>
      <c r="G3" s="5">
        <v>1.1200000000000001</v>
      </c>
      <c r="H3" s="5">
        <v>1.34</v>
      </c>
      <c r="I3" s="5">
        <v>1.29</v>
      </c>
      <c r="J3" s="4">
        <v>20130810</v>
      </c>
      <c r="K3" s="6">
        <v>41496</v>
      </c>
      <c r="L3" s="6"/>
      <c r="M3" s="6">
        <v>42369</v>
      </c>
      <c r="N3" s="18">
        <f t="shared" si="0"/>
        <v>0</v>
      </c>
      <c r="O3" s="18">
        <f t="shared" si="1"/>
        <v>873</v>
      </c>
      <c r="P3" s="18">
        <f t="shared" si="2"/>
        <v>1</v>
      </c>
    </row>
    <row r="4" spans="1:16">
      <c r="A4" s="4">
        <v>3</v>
      </c>
      <c r="B4" s="4">
        <v>2</v>
      </c>
      <c r="C4" s="4">
        <v>2</v>
      </c>
      <c r="D4" s="4">
        <v>64</v>
      </c>
      <c r="E4" s="4">
        <v>0</v>
      </c>
      <c r="F4" s="4"/>
      <c r="G4" s="5">
        <v>0.69</v>
      </c>
      <c r="H4" s="5">
        <v>0.75</v>
      </c>
      <c r="I4" s="5">
        <v>0.71</v>
      </c>
      <c r="J4" s="4">
        <v>20150921</v>
      </c>
      <c r="K4" s="6">
        <v>42268</v>
      </c>
      <c r="L4" s="6"/>
      <c r="M4" s="6">
        <v>42369</v>
      </c>
      <c r="N4" s="18">
        <f t="shared" si="0"/>
        <v>0</v>
      </c>
      <c r="O4" s="18">
        <f t="shared" si="1"/>
        <v>101</v>
      </c>
      <c r="P4" s="18">
        <f t="shared" si="2"/>
        <v>3</v>
      </c>
    </row>
    <row r="5" spans="1:16">
      <c r="A5" s="4">
        <v>4</v>
      </c>
      <c r="B5" s="4">
        <v>2</v>
      </c>
      <c r="C5" s="4">
        <v>1</v>
      </c>
      <c r="D5" s="4">
        <v>55</v>
      </c>
      <c r="E5" s="4">
        <v>1</v>
      </c>
      <c r="F5" s="4"/>
      <c r="G5" s="5">
        <v>1.44</v>
      </c>
      <c r="H5" s="5">
        <v>1.41</v>
      </c>
      <c r="I5" s="5">
        <v>1.22</v>
      </c>
      <c r="J5" s="4">
        <v>20120108</v>
      </c>
      <c r="K5" s="6">
        <v>40916</v>
      </c>
      <c r="L5" s="6">
        <v>42336</v>
      </c>
      <c r="M5" s="6">
        <v>42336</v>
      </c>
      <c r="N5" s="18">
        <f t="shared" si="0"/>
        <v>1</v>
      </c>
      <c r="O5" s="18">
        <f t="shared" si="1"/>
        <v>1420</v>
      </c>
      <c r="P5" s="18">
        <f t="shared" si="2"/>
        <v>2</v>
      </c>
    </row>
    <row r="6" spans="1:16">
      <c r="A6" s="4">
        <v>5</v>
      </c>
      <c r="B6" s="4">
        <v>1</v>
      </c>
      <c r="C6" s="4">
        <v>2</v>
      </c>
      <c r="D6" s="4">
        <v>51</v>
      </c>
      <c r="E6" s="4">
        <v>0</v>
      </c>
      <c r="F6" s="4"/>
      <c r="G6" s="5">
        <v>1.0900000000000001</v>
      </c>
      <c r="H6" s="5">
        <v>1.02</v>
      </c>
      <c r="I6" s="5"/>
      <c r="J6" s="4">
        <v>20141018</v>
      </c>
      <c r="K6" s="6">
        <v>41930</v>
      </c>
      <c r="L6" s="6"/>
      <c r="M6" s="6">
        <v>42369</v>
      </c>
      <c r="N6" s="18">
        <f t="shared" si="0"/>
        <v>0</v>
      </c>
      <c r="O6" s="18">
        <f t="shared" si="1"/>
        <v>439</v>
      </c>
      <c r="P6" s="18">
        <f t="shared" si="2"/>
        <v>2</v>
      </c>
    </row>
    <row r="7" spans="1:16">
      <c r="A7" s="4">
        <v>6</v>
      </c>
      <c r="B7" s="4">
        <v>2</v>
      </c>
      <c r="C7" s="4">
        <v>1</v>
      </c>
      <c r="D7" s="4">
        <v>41</v>
      </c>
      <c r="E7" s="4">
        <v>0</v>
      </c>
      <c r="F7" s="4"/>
      <c r="G7" s="5">
        <v>1.1399999999999999</v>
      </c>
      <c r="H7" s="5">
        <v>1.1599999999999999</v>
      </c>
      <c r="I7" s="5">
        <v>0.91</v>
      </c>
      <c r="J7" s="4">
        <v>20130527</v>
      </c>
      <c r="K7" s="6">
        <v>41421</v>
      </c>
      <c r="L7" s="6"/>
      <c r="M7" s="6">
        <v>42369</v>
      </c>
      <c r="N7" s="18">
        <f t="shared" si="0"/>
        <v>0</v>
      </c>
      <c r="O7" s="18">
        <f t="shared" si="1"/>
        <v>948</v>
      </c>
      <c r="P7" s="18">
        <f t="shared" si="2"/>
        <v>2</v>
      </c>
    </row>
    <row r="8" spans="1:16">
      <c r="A8" s="4">
        <v>7</v>
      </c>
      <c r="B8" s="4">
        <v>1</v>
      </c>
      <c r="C8" s="4">
        <v>2</v>
      </c>
      <c r="D8" s="4">
        <v>70</v>
      </c>
      <c r="E8" s="4">
        <v>1</v>
      </c>
      <c r="F8" s="4"/>
      <c r="G8" s="5">
        <v>0.99</v>
      </c>
      <c r="H8" s="5">
        <v>1.22</v>
      </c>
      <c r="I8" s="5">
        <v>1.01</v>
      </c>
      <c r="J8" s="4">
        <v>20121202</v>
      </c>
      <c r="K8" s="6">
        <v>41245</v>
      </c>
      <c r="L8" s="6">
        <v>41394</v>
      </c>
      <c r="M8" s="6">
        <v>41394</v>
      </c>
      <c r="N8" s="18">
        <f t="shared" si="0"/>
        <v>1</v>
      </c>
      <c r="O8" s="18">
        <f t="shared" si="1"/>
        <v>149</v>
      </c>
      <c r="P8" s="18">
        <f t="shared" si="2"/>
        <v>3</v>
      </c>
    </row>
  </sheetData>
  <phoneticPr fontId="1" type="noConversion"/>
  <conditionalFormatting sqref="A1:A8 A10:A104857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자료구축</vt:lpstr>
      <vt:lpstr>자동채우기</vt:lpstr>
      <vt:lpstr>변환</vt:lpstr>
      <vt:lpstr>날짜_Event</vt:lpstr>
      <vt:lpstr>코딩북</vt:lpstr>
      <vt:lpstr>피벗</vt:lpstr>
      <vt:lpstr>그래프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DM500T8Z</dc:creator>
  <cp:lastModifiedBy>user</cp:lastModifiedBy>
  <dcterms:created xsi:type="dcterms:W3CDTF">2019-01-22T00:01:55Z</dcterms:created>
  <dcterms:modified xsi:type="dcterms:W3CDTF">2020-09-08T04:41:05Z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C:\Users\DM500T8Z\Desktop\SDC\출강_성대 융합의과학원\수업자료\참고자료\2장_자료구축 유의사항.xlsx</vt:lpwstr>
  </property>
  <property fmtid="{5C58129F-E5B8-477A-9B38-B3E54BFA04C8}" pid="2">
    <vt:lpwstr>AA02406BA35773F585C4B6819AEC7AC231D8EDB4DF780DDA519501B031DE7476</vt:lpwstr>
  </property>
</Properties>
</file>